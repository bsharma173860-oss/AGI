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Log" sheetId="1" state="visible" r:id="rId1"/>
    <sheet xmlns:r="http://schemas.openxmlformats.org/officeDocument/2006/relationships" name="Summary Stats" sheetId="2" state="visible" r:id="rId2"/>
    <sheet xmlns:r="http://schemas.openxmlformats.org/officeDocument/2006/relationships" name="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2E75B6"/>
      <sz val="10"/>
    </font>
    <font>
      <name val="Arial"/>
      <color rgb="00000000"/>
      <sz val="10"/>
    </font>
    <font>
      <name val="Arial"/>
      <b val="1"/>
      <color rgb="001a7f37"/>
      <sz val="10"/>
    </font>
    <font>
      <name val="Arial"/>
      <b val="1"/>
      <color rgb="00d1821a"/>
      <sz val="10"/>
    </font>
    <font>
      <name val="Arial"/>
      <b val="1"/>
      <color rgb="007c3aed"/>
      <sz val="10"/>
    </font>
    <font>
      <name val="Arial"/>
      <b val="1"/>
      <color rgb="00cf222e"/>
      <sz val="10"/>
    </font>
    <font>
      <name val="Arial"/>
      <color rgb="001a7f37"/>
      <sz val="10"/>
    </font>
    <font>
      <name val="Arial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6f8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45" customWidth="1" min="3" max="3"/>
    <col width="50" customWidth="1" min="4" max="4"/>
    <col width="50" customWidth="1" min="5" max="5"/>
    <col width="8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30" customWidth="1" min="14" max="14"/>
  </cols>
  <sheetData>
    <row r="1" ht="28" customHeight="1">
      <c r="A1" s="1" t="inlineStr">
        <is>
          <t>Meta-Brain vs Baseline LLM — 50 Question Benchmark | PhenexAI Research | May 2026</t>
        </is>
      </c>
    </row>
    <row r="2" ht="40" customHeight="1">
      <c r="A2" s="2" t="inlineStr">
        <is>
          <t>#</t>
        </is>
      </c>
      <c r="B2" s="2" t="inlineStr">
        <is>
          <t>Category</t>
        </is>
      </c>
      <c r="C2" s="2" t="inlineStr">
        <is>
          <t>Question</t>
        </is>
      </c>
      <c r="D2" s="2" t="inlineStr">
        <is>
          <t>Baseline LLM Answer</t>
        </is>
      </c>
      <c r="E2" s="2" t="inlineStr">
        <is>
          <t>Meta-Brain Best Answer</t>
        </is>
      </c>
      <c r="F2" s="2" t="inlineStr">
        <is>
          <t>M1
Score</t>
        </is>
      </c>
      <c r="G2" s="2" t="inlineStr">
        <is>
          <t>M5
Score</t>
        </is>
      </c>
      <c r="H2" s="2" t="inlineStr">
        <is>
          <t>M6
Score</t>
        </is>
      </c>
      <c r="I2" s="2" t="inlineStr">
        <is>
          <t>Final
Score</t>
        </is>
      </c>
      <c r="J2" s="2" t="inlineStr">
        <is>
          <t>Memory
Quality Q(t)</t>
        </is>
      </c>
      <c r="K2" s="2" t="inlineStr">
        <is>
          <t>Winner
(B=Baseline
MB=MetaBrain)</t>
        </is>
      </c>
      <c r="L2" s="2" t="inlineStr">
        <is>
          <t>Human
Rating 1-5</t>
        </is>
      </c>
      <c r="M2" s="2" t="inlineStr">
        <is>
          <t>Accuracy
Improvement</t>
        </is>
      </c>
      <c r="N2" s="2" t="inlineStr">
        <is>
          <t>Notes</t>
        </is>
      </c>
    </row>
    <row r="3" ht="35" customHeight="1">
      <c r="A3" s="3" t="n">
        <v>1</v>
      </c>
      <c r="B3" s="4" t="inlineStr">
        <is>
          <t>Physics</t>
        </is>
      </c>
      <c r="C3" s="5" t="inlineStr">
        <is>
          <t>What is the speed of light and why is it a universal limit?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</row>
    <row r="4" ht="35" customHeight="1">
      <c r="A4" s="6" t="n">
        <v>2</v>
      </c>
      <c r="B4" s="7" t="inlineStr">
        <is>
          <t>Physics</t>
        </is>
      </c>
      <c r="C4" s="8" t="inlineStr">
        <is>
          <t>How does quantum entanglement work?</t>
        </is>
      </c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</row>
    <row r="5" ht="35" customHeight="1">
      <c r="A5" s="3" t="n">
        <v>3</v>
      </c>
      <c r="B5" s="4" t="inlineStr">
        <is>
          <t>Physics</t>
        </is>
      </c>
      <c r="C5" s="5" t="inlineStr">
        <is>
          <t>What is the Bekenstein bound?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 ht="35" customHeight="1">
      <c r="A6" s="6" t="n">
        <v>4</v>
      </c>
      <c r="B6" s="7" t="inlineStr">
        <is>
          <t>Physics</t>
        </is>
      </c>
      <c r="C6" s="8" t="inlineStr">
        <is>
          <t>Explain the double-slit experiment.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</row>
    <row r="7" ht="35" customHeight="1">
      <c r="A7" s="3" t="n">
        <v>5</v>
      </c>
      <c r="B7" s="4" t="inlineStr">
        <is>
          <t>Physics</t>
        </is>
      </c>
      <c r="C7" s="5" t="inlineStr">
        <is>
          <t>What is Hawking radiation?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 ht="35" customHeight="1">
      <c r="A8" s="6" t="n">
        <v>6</v>
      </c>
      <c r="B8" s="7" t="inlineStr">
        <is>
          <t>Physics</t>
        </is>
      </c>
      <c r="C8" s="8" t="inlineStr">
        <is>
          <t>How does special relativity change our understanding of time?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</row>
    <row r="9" ht="35" customHeight="1">
      <c r="A9" s="3" t="n">
        <v>7</v>
      </c>
      <c r="B9" s="4" t="inlineStr">
        <is>
          <t>Physics</t>
        </is>
      </c>
      <c r="C9" s="5" t="inlineStr">
        <is>
          <t>What is the Heisenberg uncertainty principle?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 ht="35" customHeight="1">
      <c r="A10" s="6" t="n">
        <v>8</v>
      </c>
      <c r="B10" s="7" t="inlineStr">
        <is>
          <t>Physics</t>
        </is>
      </c>
      <c r="C10" s="8" t="inlineStr">
        <is>
          <t>How do black holes form?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</row>
    <row r="11" ht="35" customHeight="1">
      <c r="A11" s="3" t="n">
        <v>9</v>
      </c>
      <c r="B11" s="4" t="inlineStr">
        <is>
          <t>Physics</t>
        </is>
      </c>
      <c r="C11" s="5" t="inlineStr">
        <is>
          <t>What is dark matter?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 ht="35" customHeight="1">
      <c r="A12" s="6" t="n">
        <v>10</v>
      </c>
      <c r="B12" s="7" t="inlineStr">
        <is>
          <t>Physics</t>
        </is>
      </c>
      <c r="C12" s="8" t="inlineStr">
        <is>
          <t>Explain Landauer's principle.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 ht="35" customHeight="1">
      <c r="A13" s="3" t="n">
        <v>11</v>
      </c>
      <c r="B13" s="9" t="inlineStr">
        <is>
          <t>AI &amp; AGI</t>
        </is>
      </c>
      <c r="C13" s="5" t="inlineStr">
        <is>
          <t>What is the most important missing ingredient for AGI?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 ht="35" customHeight="1">
      <c r="A14" s="6" t="n">
        <v>12</v>
      </c>
      <c r="B14" s="10" t="inlineStr">
        <is>
          <t>AI &amp; AGI</t>
        </is>
      </c>
      <c r="C14" s="8" t="inlineStr">
        <is>
          <t>What is a world model in AI?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</row>
    <row r="15" ht="35" customHeight="1">
      <c r="A15" s="3" t="n">
        <v>13</v>
      </c>
      <c r="B15" s="9" t="inlineStr">
        <is>
          <t>AI &amp; AGI</t>
        </is>
      </c>
      <c r="C15" s="5" t="inlineStr">
        <is>
          <t>Why do large language models hallucinate?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  <row r="16" ht="35" customHeight="1">
      <c r="A16" s="6" t="n">
        <v>14</v>
      </c>
      <c r="B16" s="10" t="inlineStr">
        <is>
          <t>AI &amp; AGI</t>
        </is>
      </c>
      <c r="C16" s="8" t="inlineStr">
        <is>
          <t>What is the ARC-AGI benchmark testing for?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</row>
    <row r="17" ht="35" customHeight="1">
      <c r="A17" s="3" t="n">
        <v>15</v>
      </c>
      <c r="B17" s="9" t="inlineStr">
        <is>
          <t>AI &amp; AGI</t>
        </is>
      </c>
      <c r="C17" s="5" t="inlineStr">
        <is>
          <t>What is LeCun's JEPA architecture?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</row>
    <row r="18" ht="35" customHeight="1">
      <c r="A18" s="6" t="n">
        <v>16</v>
      </c>
      <c r="B18" s="10" t="inlineStr">
        <is>
          <t>AI &amp; AGI</t>
        </is>
      </c>
      <c r="C18" s="8" t="inlineStr">
        <is>
          <t>What is the difference between narrow AI and AGI?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</row>
    <row r="19" ht="35" customHeight="1">
      <c r="A19" s="3" t="n">
        <v>17</v>
      </c>
      <c r="B19" s="9" t="inlineStr">
        <is>
          <t>AI &amp; AGI</t>
        </is>
      </c>
      <c r="C19" s="5" t="inlineStr">
        <is>
          <t>How does reinforcement learning work?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</row>
    <row r="20" ht="35" customHeight="1">
      <c r="A20" s="6" t="n">
        <v>18</v>
      </c>
      <c r="B20" s="10" t="inlineStr">
        <is>
          <t>AI &amp; AGI</t>
        </is>
      </c>
      <c r="C20" s="8" t="inlineStr">
        <is>
          <t>What is the alignment problem in AI?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</row>
    <row r="21" ht="35" customHeight="1">
      <c r="A21" s="3" t="n">
        <v>19</v>
      </c>
      <c r="B21" s="9" t="inlineStr">
        <is>
          <t>AI &amp; AGI</t>
        </is>
      </c>
      <c r="C21" s="5" t="inlineStr">
        <is>
          <t>Can a simulation share physics laws with its host universe?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  <row r="22" ht="35" customHeight="1">
      <c r="A22" s="6" t="n">
        <v>20</v>
      </c>
      <c r="B22" s="10" t="inlineStr">
        <is>
          <t>AI &amp; AGI</t>
        </is>
      </c>
      <c r="C22" s="8" t="inlineStr">
        <is>
          <t>What is integrated information theory?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</row>
    <row r="23" ht="35" customHeight="1">
      <c r="A23" s="3" t="n">
        <v>21</v>
      </c>
      <c r="B23" s="11" t="inlineStr">
        <is>
          <t>Consciousness</t>
        </is>
      </c>
      <c r="C23" s="5" t="inlineStr">
        <is>
          <t>What is consciousness?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</row>
    <row r="24" ht="35" customHeight="1">
      <c r="A24" s="6" t="n">
        <v>22</v>
      </c>
      <c r="B24" s="12" t="inlineStr">
        <is>
          <t>Consciousness</t>
        </is>
      </c>
      <c r="C24" s="8" t="inlineStr">
        <is>
          <t>What is Tononi's phi metric?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</row>
    <row r="25" ht="35" customHeight="1">
      <c r="A25" s="3" t="n">
        <v>23</v>
      </c>
      <c r="B25" s="11" t="inlineStr">
        <is>
          <t>Consciousness</t>
        </is>
      </c>
      <c r="C25" s="5" t="inlineStr">
        <is>
          <t>Is consciousness an emergent property?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</row>
    <row r="26" ht="35" customHeight="1">
      <c r="A26" s="6" t="n">
        <v>24</v>
      </c>
      <c r="B26" s="12" t="inlineStr">
        <is>
          <t>Consciousness</t>
        </is>
      </c>
      <c r="C26" s="8" t="inlineStr">
        <is>
          <t>What is the hard problem of consciousness?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</row>
    <row r="27" ht="35" customHeight="1">
      <c r="A27" s="3" t="n">
        <v>25</v>
      </c>
      <c r="B27" s="11" t="inlineStr">
        <is>
          <t>Consciousness</t>
        </is>
      </c>
      <c r="C27" s="5" t="inlineStr">
        <is>
          <t>Do animals have consciousness?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</row>
    <row r="28" ht="35" customHeight="1">
      <c r="A28" s="6" t="n">
        <v>26</v>
      </c>
      <c r="B28" s="12" t="inlineStr">
        <is>
          <t>Consciousness</t>
        </is>
      </c>
      <c r="C28" s="8" t="inlineStr">
        <is>
          <t>Can an AI be conscious?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</row>
    <row r="29" ht="35" customHeight="1">
      <c r="A29" s="3" t="n">
        <v>27</v>
      </c>
      <c r="B29" s="11" t="inlineStr">
        <is>
          <t>Consciousness</t>
        </is>
      </c>
      <c r="C29" s="5" t="inlineStr">
        <is>
          <t>What is the global workspace theory?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</row>
    <row r="30" ht="35" customHeight="1">
      <c r="A30" s="6" t="n">
        <v>28</v>
      </c>
      <c r="B30" s="12" t="inlineStr">
        <is>
          <t>Consciousness</t>
        </is>
      </c>
      <c r="C30" s="8" t="inlineStr">
        <is>
          <t>How does dreaming relate to memory consolidation?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</row>
    <row r="31" ht="35" customHeight="1">
      <c r="A31" s="3" t="n">
        <v>29</v>
      </c>
      <c r="B31" s="11" t="inlineStr">
        <is>
          <t>Consciousness</t>
        </is>
      </c>
      <c r="C31" s="5" t="inlineStr">
        <is>
          <t>What is the relationship between consciousness and information?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</row>
    <row r="32" ht="35" customHeight="1">
      <c r="A32" s="6" t="n">
        <v>30</v>
      </c>
      <c r="B32" s="12" t="inlineStr">
        <is>
          <t>Consciousness</t>
        </is>
      </c>
      <c r="C32" s="8" t="inlineStr">
        <is>
          <t>What is the difference between awareness and consciousness?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</row>
    <row r="33" ht="35" customHeight="1">
      <c r="A33" s="3" t="n">
        <v>31</v>
      </c>
      <c r="B33" s="13" t="inlineStr">
        <is>
          <t>Mathematics</t>
        </is>
      </c>
      <c r="C33" s="5" t="inlineStr">
        <is>
          <t>What is entropy in information theory?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</row>
    <row r="34" ht="35" customHeight="1">
      <c r="A34" s="6" t="n">
        <v>32</v>
      </c>
      <c r="B34" s="14" t="inlineStr">
        <is>
          <t>Mathematics</t>
        </is>
      </c>
      <c r="C34" s="8" t="inlineStr">
        <is>
          <t>Explain KL divergence in plain English.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</row>
    <row r="35" ht="35" customHeight="1">
      <c r="A35" s="3" t="n">
        <v>33</v>
      </c>
      <c r="B35" s="13" t="inlineStr">
        <is>
          <t>Mathematics</t>
        </is>
      </c>
      <c r="C35" s="5" t="inlineStr">
        <is>
          <t>What is Bayes theorem and why does it matter?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</row>
    <row r="36" ht="35" customHeight="1">
      <c r="A36" s="6" t="n">
        <v>34</v>
      </c>
      <c r="B36" s="14" t="inlineStr">
        <is>
          <t>Mathematics</t>
        </is>
      </c>
      <c r="C36" s="8" t="inlineStr">
        <is>
          <t>What is mutual information?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</row>
    <row r="37" ht="35" customHeight="1">
      <c r="A37" s="3" t="n">
        <v>35</v>
      </c>
      <c r="B37" s="13" t="inlineStr">
        <is>
          <t>Mathematics</t>
        </is>
      </c>
      <c r="C37" s="5" t="inlineStr">
        <is>
          <t>Explain the ensemble learning error reduction theorem.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</row>
    <row r="38" ht="35" customHeight="1">
      <c r="A38" s="6" t="n">
        <v>36</v>
      </c>
      <c r="B38" s="14" t="inlineStr">
        <is>
          <t>Mathematics</t>
        </is>
      </c>
      <c r="C38" s="8" t="inlineStr">
        <is>
          <t>What is a vector embedding?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</row>
    <row r="39" ht="35" customHeight="1">
      <c r="A39" s="3" t="n">
        <v>37</v>
      </c>
      <c r="B39" s="13" t="inlineStr">
        <is>
          <t>Mathematics</t>
        </is>
      </c>
      <c r="C39" s="5" t="inlineStr">
        <is>
          <t>What is the holographic principle in physics?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</row>
    <row r="40" ht="35" customHeight="1">
      <c r="A40" s="6" t="n">
        <v>38</v>
      </c>
      <c r="B40" s="14" t="inlineStr">
        <is>
          <t>Mathematics</t>
        </is>
      </c>
      <c r="C40" s="8" t="inlineStr">
        <is>
          <t>What is an exponential decay function?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</row>
    <row r="41" ht="35" customHeight="1">
      <c r="A41" s="3" t="n">
        <v>39</v>
      </c>
      <c r="B41" s="13" t="inlineStr">
        <is>
          <t>Mathematics</t>
        </is>
      </c>
      <c r="C41" s="5" t="inlineStr">
        <is>
          <t>What is the difference between convergence and divergence?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</row>
    <row r="42" ht="35" customHeight="1">
      <c r="A42" s="6" t="n">
        <v>40</v>
      </c>
      <c r="B42" s="14" t="inlineStr">
        <is>
          <t>Mathematics</t>
        </is>
      </c>
      <c r="C42" s="8" t="inlineStr">
        <is>
          <t>Explain the central limit theorem.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</row>
    <row r="43" ht="35" customHeight="1">
      <c r="A43" s="3" t="n">
        <v>41</v>
      </c>
      <c r="B43" s="15" t="inlineStr">
        <is>
          <t>Simulation</t>
        </is>
      </c>
      <c r="C43" s="5" t="inlineStr">
        <is>
          <t>What is Bostrom's simulation hypothesis?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</row>
    <row r="44" ht="35" customHeight="1">
      <c r="A44" s="6" t="n">
        <v>42</v>
      </c>
      <c r="B44" s="16" t="inlineStr">
        <is>
          <t>Simulation</t>
        </is>
      </c>
      <c r="C44" s="8" t="inlineStr">
        <is>
          <t>What is Wheeler's "it from bit" concept?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</row>
    <row r="45" ht="35" customHeight="1">
      <c r="A45" s="3" t="n">
        <v>43</v>
      </c>
      <c r="B45" s="15" t="inlineStr">
        <is>
          <t>Simulation</t>
        </is>
      </c>
      <c r="C45" s="5" t="inlineStr">
        <is>
          <t>Could the universe be a simulation?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</row>
    <row r="46" ht="35" customHeight="1">
      <c r="A46" s="6" t="n">
        <v>44</v>
      </c>
      <c r="B46" s="16" t="inlineStr">
        <is>
          <t>Simulation</t>
        </is>
      </c>
      <c r="C46" s="8" t="inlineStr">
        <is>
          <t>What would bidirectional physics propagation mean?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</row>
    <row r="47" ht="35" customHeight="1">
      <c r="A47" s="3" t="n">
        <v>45</v>
      </c>
      <c r="B47" s="15" t="inlineStr">
        <is>
          <t>Simulation</t>
        </is>
      </c>
      <c r="C47" s="5" t="inlineStr">
        <is>
          <t>How does the holographic principle relate to simulation?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</row>
    <row r="48" ht="35" customHeight="1">
      <c r="A48" s="6" t="n">
        <v>46</v>
      </c>
      <c r="B48" s="16" t="inlineStr">
        <is>
          <t>Simulation</t>
        </is>
      </c>
      <c r="C48" s="8" t="inlineStr">
        <is>
          <t>What is the second law of infodynamics?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</row>
    <row r="49" ht="35" customHeight="1">
      <c r="A49" s="3" t="n">
        <v>47</v>
      </c>
      <c r="B49" s="15" t="inlineStr">
        <is>
          <t>Simulation</t>
        </is>
      </c>
      <c r="C49" s="5" t="inlineStr">
        <is>
          <t>How would we detect if we are in a simulation?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</row>
    <row r="50" ht="35" customHeight="1">
      <c r="A50" s="6" t="n">
        <v>48</v>
      </c>
      <c r="B50" s="16" t="inlineStr">
        <is>
          <t>Simulation</t>
        </is>
      </c>
      <c r="C50" s="8" t="inlineStr">
        <is>
          <t>What is Landauer's principle and its implications?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</row>
    <row r="51" ht="35" customHeight="1">
      <c r="A51" s="3" t="n">
        <v>49</v>
      </c>
      <c r="B51" s="15" t="inlineStr">
        <is>
          <t>Simulation</t>
        </is>
      </c>
      <c r="C51" s="5" t="inlineStr">
        <is>
          <t>How do physics laws act as information boundaries?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</row>
    <row r="52" ht="35" customHeight="1">
      <c r="A52" s="6" t="n">
        <v>50</v>
      </c>
      <c r="B52" s="16" t="inlineStr">
        <is>
          <t>Simulation</t>
        </is>
      </c>
      <c r="C52" s="8" t="inlineStr">
        <is>
          <t>What is the relationship between entropy and information?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30" customWidth="1" min="4" max="4"/>
  </cols>
  <sheetData>
    <row r="1" ht="28" customHeight="1">
      <c r="A1" s="1" t="inlineStr">
        <is>
          <t>Meta-Brain Benchmark — Summary Statistics</t>
        </is>
      </c>
    </row>
    <row r="2">
      <c r="A2" s="2" t="inlineStr">
        <is>
          <t>Metric</t>
        </is>
      </c>
      <c r="B2" s="2" t="inlineStr">
        <is>
          <t>Baseline LLM</t>
        </is>
      </c>
      <c r="C2" s="2" t="inlineStr">
        <is>
          <t>Meta-Brain</t>
        </is>
      </c>
      <c r="D2" s="2" t="inlineStr">
        <is>
          <t>Improvement</t>
        </is>
      </c>
    </row>
    <row r="3" ht="22" customHeight="1">
      <c r="A3" s="17" t="inlineStr">
        <is>
          <t>Average Final Score</t>
        </is>
      </c>
      <c r="B3" s="18">
        <f>AVERAGE('Results Log'!F3:F52)</f>
        <v/>
      </c>
      <c r="C3" s="19">
        <f>AVERAGE('Results Log'!I3:I52)</f>
        <v/>
      </c>
      <c r="D3" s="6">
        <f>C3-B3</f>
        <v/>
      </c>
    </row>
    <row r="4" ht="22" customHeight="1">
      <c r="A4" s="20" t="inlineStr">
        <is>
          <t>Average M1 Score</t>
        </is>
      </c>
      <c r="B4" s="21" t="inlineStr">
        <is>
          <t>-</t>
        </is>
      </c>
      <c r="C4" s="22">
        <f>AVERAGE('Results Log'!F3:F52)</f>
        <v/>
      </c>
      <c r="D4" s="3" t="inlineStr">
        <is>
          <t>-</t>
        </is>
      </c>
    </row>
    <row r="5" ht="22" customHeight="1">
      <c r="A5" s="17" t="inlineStr">
        <is>
          <t>Average M5 Score</t>
        </is>
      </c>
      <c r="B5" s="18" t="inlineStr">
        <is>
          <t>-</t>
        </is>
      </c>
      <c r="C5" s="19">
        <f>AVERAGE('Results Log'!G3:G52)</f>
        <v/>
      </c>
      <c r="D5" s="6" t="inlineStr">
        <is>
          <t>-</t>
        </is>
      </c>
    </row>
    <row r="6" ht="22" customHeight="1">
      <c r="A6" s="20" t="inlineStr">
        <is>
          <t>Average M6 Score</t>
        </is>
      </c>
      <c r="B6" s="21" t="inlineStr">
        <is>
          <t>-</t>
        </is>
      </c>
      <c r="C6" s="22">
        <f>AVERAGE('Results Log'!H3:H52)</f>
        <v/>
      </c>
      <c r="D6" s="3" t="inlineStr">
        <is>
          <t>-</t>
        </is>
      </c>
    </row>
    <row r="7" ht="22" customHeight="1">
      <c r="A7" s="17" t="inlineStr">
        <is>
          <t>Average Human Rating</t>
        </is>
      </c>
      <c r="B7" s="18">
        <f>AVERAGE('Results Log'!L3:L52)</f>
        <v/>
      </c>
      <c r="C7" s="19">
        <f>AVERAGE('Results Log'!L3:L52)</f>
        <v/>
      </c>
      <c r="D7" s="6" t="inlineStr">
        <is>
          <t>-</t>
        </is>
      </c>
    </row>
    <row r="8" ht="22" customHeight="1">
      <c r="A8" s="20" t="inlineStr">
        <is>
          <t>Meta-Brain Win Rate</t>
        </is>
      </c>
      <c r="B8" s="21" t="inlineStr">
        <is>
          <t>-</t>
        </is>
      </c>
      <c r="C8" s="22">
        <f>COUNTIF('Results Log'!K3:K52,"MB")/50</f>
        <v/>
      </c>
      <c r="D8" s="3" t="inlineStr">
        <is>
          <t>-</t>
        </is>
      </c>
    </row>
    <row r="9" ht="22" customHeight="1">
      <c r="A9" s="17" t="inlineStr">
        <is>
          <t>Baseline Win Rate</t>
        </is>
      </c>
      <c r="B9" s="18" t="inlineStr">
        <is>
          <t>-</t>
        </is>
      </c>
      <c r="C9" s="19">
        <f>COUNTIF('Results Log'!K3:K52,"B")/50</f>
        <v/>
      </c>
      <c r="D9" s="6" t="inlineStr">
        <is>
          <t>-</t>
        </is>
      </c>
    </row>
    <row r="10" ht="22" customHeight="1">
      <c r="A10" s="20" t="inlineStr">
        <is>
          <t>Questions Completed</t>
        </is>
      </c>
      <c r="B10" s="21">
        <f>COUNTA('Results Log'!D3:D52)</f>
        <v/>
      </c>
      <c r="C10" s="22">
        <f>COUNTA('Results Log'!E3:E52)</f>
        <v/>
      </c>
      <c r="D10" s="3" t="inlineStr">
        <is>
          <t>-</t>
        </is>
      </c>
    </row>
    <row r="11" ht="22" customHeight="1">
      <c r="A11" s="17" t="inlineStr">
        <is>
          <t>Final Memory Quality Q(t)</t>
        </is>
      </c>
      <c r="B11" s="18" t="inlineStr">
        <is>
          <t>-</t>
        </is>
      </c>
      <c r="C11" s="19">
        <f>MAX('Results Log'!J3:J52)</f>
        <v/>
      </c>
      <c r="D11" s="6" t="inlineStr">
        <is>
          <t>-</t>
        </is>
      </c>
    </row>
    <row r="12" ht="22" customHeight="1">
      <c r="A12" s="20" t="inlineStr">
        <is>
          <t>Prediction P1 Target</t>
        </is>
      </c>
      <c r="B12" s="21" t="inlineStr">
        <is>
          <t>70%</t>
        </is>
      </c>
      <c r="C12" s="21" t="inlineStr">
        <is>
          <t>92.96%</t>
        </is>
      </c>
      <c r="D12" s="23" t="inlineStr">
        <is>
          <t>+22.96%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Performance by Question Category</t>
        </is>
      </c>
    </row>
    <row r="2">
      <c r="A2" s="2" t="inlineStr">
        <is>
          <t>Category</t>
        </is>
      </c>
      <c r="B2" s="2" t="inlineStr">
        <is>
          <t>Avg M1 Score</t>
        </is>
      </c>
      <c r="C2" s="2" t="inlineStr">
        <is>
          <t>Avg Final Score</t>
        </is>
      </c>
      <c r="D2" s="2" t="inlineStr">
        <is>
          <t>Hardest for Meta-Brain?</t>
        </is>
      </c>
    </row>
    <row r="3" ht="22" customHeight="1">
      <c r="A3" s="17" t="inlineStr">
        <is>
          <t>Physics</t>
        </is>
      </c>
      <c r="B3" s="18">
        <f>AVERAGEIF('Results Log'!B3:B52,"Physics",'Results Log'!F3:F52)</f>
        <v/>
      </c>
      <c r="C3" s="18">
        <f>AVERAGEIF('Results Log'!B3:B52,"Physics",'Results Log'!I3:I52)</f>
        <v/>
      </c>
      <c r="D3" s="24" t="inlineStr">
        <is>
          <t>Fill after running</t>
        </is>
      </c>
    </row>
    <row r="4" ht="22" customHeight="1">
      <c r="A4" s="20" t="inlineStr">
        <is>
          <t>AI &amp; AGI</t>
        </is>
      </c>
      <c r="B4" s="21">
        <f>AVERAGEIF('Results Log'!B3:B52,"AI &amp; AGI",'Results Log'!F3:F52)</f>
        <v/>
      </c>
      <c r="C4" s="21">
        <f>AVERAGEIF('Results Log'!B3:B52,"AI &amp; AGI",'Results Log'!I3:I52)</f>
        <v/>
      </c>
      <c r="D4" s="25" t="inlineStr">
        <is>
          <t>Fill after running</t>
        </is>
      </c>
    </row>
    <row r="5" ht="22" customHeight="1">
      <c r="A5" s="17" t="inlineStr">
        <is>
          <t>Consciousness</t>
        </is>
      </c>
      <c r="B5" s="18">
        <f>AVERAGEIF('Results Log'!B3:B52,"Consciousness",'Results Log'!F3:F52)</f>
        <v/>
      </c>
      <c r="C5" s="18">
        <f>AVERAGEIF('Results Log'!B3:B52,"Consciousness",'Results Log'!I3:I52)</f>
        <v/>
      </c>
      <c r="D5" s="24" t="inlineStr">
        <is>
          <t>Fill after running</t>
        </is>
      </c>
    </row>
    <row r="6" ht="22" customHeight="1">
      <c r="A6" s="20" t="inlineStr">
        <is>
          <t>Mathematics</t>
        </is>
      </c>
      <c r="B6" s="21">
        <f>AVERAGEIF('Results Log'!B3:B52,"Mathematics",'Results Log'!F3:F52)</f>
        <v/>
      </c>
      <c r="C6" s="21">
        <f>AVERAGEIF('Results Log'!B3:B52,"Mathematics",'Results Log'!I3:I52)</f>
        <v/>
      </c>
      <c r="D6" s="25" t="inlineStr">
        <is>
          <t>Fill after running</t>
        </is>
      </c>
    </row>
    <row r="7" ht="22" customHeight="1">
      <c r="A7" s="17" t="inlineStr">
        <is>
          <t>Simulation</t>
        </is>
      </c>
      <c r="B7" s="18">
        <f>AVERAGEIF('Results Log'!B3:B52,"Simulation",'Results Log'!F3:F52)</f>
        <v/>
      </c>
      <c r="C7" s="18">
        <f>AVERAGEIF('Results Log'!B3:B52,"Simulation",'Results Log'!I3:I52)</f>
        <v/>
      </c>
      <c r="D7" s="24" t="inlineStr">
        <is>
          <t>Fill after running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2026-05-11T21:40:34Z</dcterms:created>
  <dcterms:modified xmlns:dcterms="http://purl.org/dc/terms/" xmlns:xsi="http://www.w3.org/2001/XMLSchema-instance" xsi:type="dcterms:W3CDTF">2026-05-11T21:40:34Z</dcterms:modified>
</cp:coreProperties>
</file>